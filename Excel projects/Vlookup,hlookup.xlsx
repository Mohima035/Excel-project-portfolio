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D2F50C1B-8DAD-4724-A085-3630519CA909}" xr6:coauthVersionLast="47" xr6:coauthVersionMax="47" xr10:uidLastSave="{00000000-0000-0000-0000-000000000000}"/>
  <bookViews>
    <workbookView xWindow="-110" yWindow="-110" windowWidth="19420" windowHeight="10420" xr2:uid="{F421E4E3-62BB-42C1-B579-F4DB1B859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7" i="1"/>
  <c r="B17" i="1"/>
  <c r="B18" i="1"/>
  <c r="B19" i="1"/>
  <c r="B20" i="1"/>
  <c r="B21" i="1"/>
  <c r="B22" i="1"/>
  <c r="B16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<sst xmlns="http://schemas.openxmlformats.org/spreadsheetml/2006/main" count="34" uniqueCount="25">
  <si>
    <t>Salary</t>
  </si>
  <si>
    <t>Tax</t>
  </si>
  <si>
    <t>Table</t>
  </si>
  <si>
    <t>Excellent</t>
  </si>
  <si>
    <t>Very Good</t>
  </si>
  <si>
    <t>Good</t>
  </si>
  <si>
    <t>Satisfy</t>
  </si>
  <si>
    <t>Fair</t>
  </si>
  <si>
    <t>Poor</t>
  </si>
  <si>
    <t>Fail</t>
  </si>
  <si>
    <t>Name</t>
  </si>
  <si>
    <t>Rating</t>
  </si>
  <si>
    <t>Score</t>
  </si>
  <si>
    <t>Rima</t>
  </si>
  <si>
    <t>Maisha</t>
  </si>
  <si>
    <t>Takia</t>
  </si>
  <si>
    <t>Faiza</t>
  </si>
  <si>
    <t>Zerin</t>
  </si>
  <si>
    <t>Nushrat</t>
  </si>
  <si>
    <t>Poli</t>
  </si>
  <si>
    <t>Noyon</t>
  </si>
  <si>
    <t>Nipa</t>
  </si>
  <si>
    <t>poor</t>
  </si>
  <si>
    <t>satisfy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</si>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</sst>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/>
    </xf>
    <xf numFmtId="3" fontId="0" fillId="0" borderId="0" xfId="0" applyNumberFormat="1"/>
    <xf numFmtId="0" fontId="0" fillId="3" borderId="0" xfId="0" applyFill="1"/>
    <xf numFmtId="3" fontId="0" fillId="3" borderId="0" xfId="0" applyNumberFormat="1" applyFill="1"/>
    <xf numFmtId="9" fontId="0" fillId="3" borderId="0" xfId="0" applyNumberFormat="1" applyFill="1"/>
    <xf numFmtId="9" fontId="0" fillId="0" borderId="0" xfId="1" applyFont="1"/>
    <xf numFmtId="0" fontId="0" fillId="0" borderId="0" xfId="0" applyBorder="1"/>
    <xf numFmtId="0" fontId="2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0364-9D77-4C41-8CA6-DAF8C7D8F643}">
  <dimension ref="A1:P22"/>
  <sheetViews>
    <sheetView tabSelected="1" workbookViewId="0">
      <selection activeCell="N12" sqref="N12"/>
    </sheetView>
  </sheetViews>
  <sheetFormatPr defaultRowHeight="14.5" x14ac:dyDescent="0.35"/>
  <cols>
    <col min="2" max="2" width="23.453125" customWidth="1"/>
    <col min="9" max="10" width="7.26953125" customWidth="1"/>
  </cols>
  <sheetData>
    <row r="1" spans="1:16" x14ac:dyDescent="0.35">
      <c r="A1" s="1" t="s">
        <v>0</v>
      </c>
      <c r="B1" s="1" t="s">
        <v>1</v>
      </c>
      <c r="D1" s="3">
        <v>0</v>
      </c>
      <c r="E1" s="3">
        <v>0</v>
      </c>
      <c r="G1" s="3">
        <v>0</v>
      </c>
      <c r="H1" s="3">
        <v>25000</v>
      </c>
      <c r="I1" s="3">
        <v>35000</v>
      </c>
      <c r="J1" s="3">
        <v>45000</v>
      </c>
      <c r="K1" s="3">
        <v>55000</v>
      </c>
      <c r="L1" s="3">
        <v>65000</v>
      </c>
      <c r="M1" s="3">
        <v>75000</v>
      </c>
      <c r="N1" s="3">
        <v>85000</v>
      </c>
    </row>
    <row r="2" spans="1:16" x14ac:dyDescent="0.35">
      <c r="A2" s="2">
        <v>60881</v>
      </c>
      <c r="B2" s="6">
        <f>VLOOKUP(A2,$D$1:$E$12,2)</f>
        <v>0.04</v>
      </c>
      <c r="D2" s="4">
        <v>25000</v>
      </c>
      <c r="E2" s="5">
        <v>0.01</v>
      </c>
      <c r="G2" s="3">
        <v>0</v>
      </c>
      <c r="H2" s="5">
        <v>0.01</v>
      </c>
      <c r="I2" s="5">
        <v>0.02</v>
      </c>
      <c r="J2" s="5">
        <v>0.03</v>
      </c>
      <c r="K2" s="5">
        <v>0.04</v>
      </c>
      <c r="L2" s="5">
        <v>0.05</v>
      </c>
      <c r="M2" s="5">
        <v>0.06</v>
      </c>
      <c r="N2" s="5">
        <v>7.0000000000000007E-2</v>
      </c>
    </row>
    <row r="3" spans="1:16" x14ac:dyDescent="0.35">
      <c r="A3" s="2">
        <v>60715</v>
      </c>
      <c r="B3" s="6">
        <f t="shared" ref="B3:B12" si="0">VLOOKUP(A3,$D$1:$E$12,2)</f>
        <v>0.04</v>
      </c>
      <c r="D3" s="4">
        <v>35000</v>
      </c>
      <c r="E3" s="5">
        <v>0.02</v>
      </c>
    </row>
    <row r="4" spans="1:16" x14ac:dyDescent="0.35">
      <c r="A4" s="2">
        <v>96071</v>
      </c>
      <c r="B4" s="6">
        <f t="shared" si="0"/>
        <v>0.08</v>
      </c>
      <c r="D4" s="4">
        <v>45000</v>
      </c>
      <c r="E4" s="5">
        <v>0.03</v>
      </c>
    </row>
    <row r="5" spans="1:16" ht="15" thickBot="1" x14ac:dyDescent="0.4">
      <c r="A5" s="2">
        <v>120421</v>
      </c>
      <c r="B5" s="6">
        <f t="shared" si="0"/>
        <v>0.1</v>
      </c>
      <c r="D5" s="4">
        <v>55000</v>
      </c>
      <c r="E5" s="5">
        <v>0.04</v>
      </c>
      <c r="J5" s="8" t="s">
        <v>24</v>
      </c>
      <c r="K5" s="8"/>
    </row>
    <row r="6" spans="1:16" x14ac:dyDescent="0.35">
      <c r="A6" s="2">
        <v>115247</v>
      </c>
      <c r="B6" s="6">
        <f t="shared" si="0"/>
        <v>0.1</v>
      </c>
      <c r="D6" s="4">
        <v>65000</v>
      </c>
      <c r="E6" s="5">
        <v>0.05</v>
      </c>
      <c r="H6" s="9" t="s">
        <v>2</v>
      </c>
      <c r="I6" s="10"/>
      <c r="J6" s="11"/>
      <c r="K6" s="12" t="s">
        <v>10</v>
      </c>
      <c r="L6" s="12" t="s">
        <v>11</v>
      </c>
      <c r="M6" s="13" t="s">
        <v>12</v>
      </c>
    </row>
    <row r="7" spans="1:16" x14ac:dyDescent="0.35">
      <c r="A7" s="2">
        <v>69412</v>
      </c>
      <c r="B7" s="6">
        <f t="shared" si="0"/>
        <v>0.05</v>
      </c>
      <c r="D7" s="4">
        <v>75000</v>
      </c>
      <c r="E7" s="5">
        <v>0.06</v>
      </c>
      <c r="H7" s="14" t="s">
        <v>3</v>
      </c>
      <c r="I7" s="7">
        <v>98</v>
      </c>
      <c r="J7" s="7"/>
      <c r="K7" s="7" t="s">
        <v>13</v>
      </c>
      <c r="L7" s="7" t="s">
        <v>7</v>
      </c>
      <c r="M7" s="15">
        <f>VLOOKUP(L7,$H$6:$I$13,2,0)</f>
        <v>62</v>
      </c>
    </row>
    <row r="8" spans="1:16" x14ac:dyDescent="0.35">
      <c r="A8" s="2">
        <v>121198</v>
      </c>
      <c r="B8" s="6">
        <f t="shared" si="0"/>
        <v>0.1</v>
      </c>
      <c r="D8" s="4">
        <v>85000</v>
      </c>
      <c r="E8" s="5">
        <v>7.0000000000000007E-2</v>
      </c>
      <c r="H8" s="14" t="s">
        <v>4</v>
      </c>
      <c r="I8" s="7">
        <v>95</v>
      </c>
      <c r="J8" s="7"/>
      <c r="K8" s="7" t="s">
        <v>14</v>
      </c>
      <c r="L8" s="7" t="s">
        <v>22</v>
      </c>
      <c r="M8" s="15">
        <f t="shared" ref="M8:M15" si="1">VLOOKUP(L8,$H$6:$I$13,2,0)</f>
        <v>58</v>
      </c>
    </row>
    <row r="9" spans="1:16" x14ac:dyDescent="0.35">
      <c r="A9" s="2">
        <v>107535</v>
      </c>
      <c r="B9" s="6">
        <f t="shared" si="0"/>
        <v>0.09</v>
      </c>
      <c r="D9" s="4">
        <v>95000</v>
      </c>
      <c r="E9" s="5">
        <v>0.08</v>
      </c>
      <c r="H9" s="14" t="s">
        <v>5</v>
      </c>
      <c r="I9" s="7">
        <v>82</v>
      </c>
      <c r="J9" s="7"/>
      <c r="K9" s="7" t="s">
        <v>15</v>
      </c>
      <c r="L9" s="7" t="s">
        <v>23</v>
      </c>
      <c r="M9" s="15">
        <f t="shared" si="1"/>
        <v>75</v>
      </c>
      <c r="P9" s="7"/>
    </row>
    <row r="10" spans="1:16" x14ac:dyDescent="0.35">
      <c r="A10" s="2">
        <v>112020</v>
      </c>
      <c r="B10" s="6">
        <f t="shared" si="0"/>
        <v>0.09</v>
      </c>
      <c r="D10" s="4">
        <v>105000</v>
      </c>
      <c r="E10" s="5">
        <v>0.09</v>
      </c>
      <c r="H10" s="14" t="s">
        <v>6</v>
      </c>
      <c r="I10" s="7">
        <v>75</v>
      </c>
      <c r="J10" s="7"/>
      <c r="K10" s="7" t="s">
        <v>16</v>
      </c>
      <c r="L10" s="7" t="s">
        <v>3</v>
      </c>
      <c r="M10" s="15">
        <f t="shared" si="1"/>
        <v>98</v>
      </c>
    </row>
    <row r="11" spans="1:16" x14ac:dyDescent="0.35">
      <c r="A11" s="2">
        <v>84341</v>
      </c>
      <c r="B11" s="6">
        <f t="shared" si="0"/>
        <v>0.06</v>
      </c>
      <c r="D11" s="4">
        <v>115000</v>
      </c>
      <c r="E11" s="5">
        <v>0.1</v>
      </c>
      <c r="H11" s="14" t="s">
        <v>7</v>
      </c>
      <c r="I11" s="7">
        <v>62</v>
      </c>
      <c r="J11" s="7"/>
      <c r="K11" s="7" t="s">
        <v>17</v>
      </c>
      <c r="L11" s="7" t="s">
        <v>5</v>
      </c>
      <c r="M11" s="15">
        <f t="shared" si="1"/>
        <v>82</v>
      </c>
    </row>
    <row r="12" spans="1:16" x14ac:dyDescent="0.35">
      <c r="A12" s="2">
        <v>97998</v>
      </c>
      <c r="B12" s="6">
        <f t="shared" si="0"/>
        <v>0.08</v>
      </c>
      <c r="D12" s="4">
        <v>125000</v>
      </c>
      <c r="E12" s="5">
        <v>0.11</v>
      </c>
      <c r="H12" s="14" t="s">
        <v>8</v>
      </c>
      <c r="I12" s="7">
        <v>58</v>
      </c>
      <c r="J12" s="7"/>
      <c r="K12" s="7" t="s">
        <v>18</v>
      </c>
      <c r="L12" s="7" t="s">
        <v>9</v>
      </c>
      <c r="M12" s="15">
        <f t="shared" si="1"/>
        <v>40</v>
      </c>
    </row>
    <row r="13" spans="1:16" x14ac:dyDescent="0.35">
      <c r="H13" s="14" t="s">
        <v>9</v>
      </c>
      <c r="I13" s="7">
        <v>40</v>
      </c>
      <c r="J13" s="7"/>
      <c r="K13" s="7" t="s">
        <v>19</v>
      </c>
      <c r="L13" s="7" t="s">
        <v>4</v>
      </c>
      <c r="M13" s="15">
        <f t="shared" si="1"/>
        <v>95</v>
      </c>
    </row>
    <row r="14" spans="1:16" x14ac:dyDescent="0.35">
      <c r="H14" s="14"/>
      <c r="I14" s="7"/>
      <c r="J14" s="7"/>
      <c r="K14" s="7" t="s">
        <v>20</v>
      </c>
      <c r="L14" s="7" t="s">
        <v>6</v>
      </c>
      <c r="M14" s="15">
        <f t="shared" si="1"/>
        <v>75</v>
      </c>
    </row>
    <row r="15" spans="1:16" ht="15" thickBot="1" x14ac:dyDescent="0.4">
      <c r="A15" s="1" t="s">
        <v>0</v>
      </c>
      <c r="B15" s="1" t="s">
        <v>1</v>
      </c>
      <c r="H15" s="16"/>
      <c r="I15" s="17"/>
      <c r="J15" s="17"/>
      <c r="K15" s="17" t="s">
        <v>21</v>
      </c>
      <c r="L15" s="17" t="s">
        <v>3</v>
      </c>
      <c r="M15" s="18">
        <f t="shared" si="1"/>
        <v>98</v>
      </c>
    </row>
    <row r="16" spans="1:16" x14ac:dyDescent="0.35">
      <c r="A16" s="2">
        <v>60881</v>
      </c>
      <c r="B16" s="6">
        <f>HLOOKUP(A16,$G$1:$N$2,2)</f>
        <v>0.04</v>
      </c>
    </row>
    <row r="17" spans="1:2" x14ac:dyDescent="0.35">
      <c r="A17" s="2">
        <v>60715</v>
      </c>
      <c r="B17" s="6">
        <f t="shared" ref="B17:B22" si="2">HLOOKUP(A17,$G$1:$N$2,2)</f>
        <v>0.04</v>
      </c>
    </row>
    <row r="18" spans="1:2" x14ac:dyDescent="0.35">
      <c r="A18" s="2">
        <v>96071</v>
      </c>
      <c r="B18" s="6">
        <f t="shared" si="2"/>
        <v>7.0000000000000007E-2</v>
      </c>
    </row>
    <row r="19" spans="1:2" x14ac:dyDescent="0.35">
      <c r="A19" s="2">
        <v>120421</v>
      </c>
      <c r="B19" s="6">
        <f t="shared" si="2"/>
        <v>7.0000000000000007E-2</v>
      </c>
    </row>
    <row r="20" spans="1:2" x14ac:dyDescent="0.35">
      <c r="A20" s="2">
        <v>115247</v>
      </c>
      <c r="B20" s="6">
        <f t="shared" si="2"/>
        <v>7.0000000000000007E-2</v>
      </c>
    </row>
    <row r="21" spans="1:2" x14ac:dyDescent="0.35">
      <c r="A21" s="2">
        <v>69412</v>
      </c>
      <c r="B21" s="6">
        <f t="shared" si="2"/>
        <v>0.05</v>
      </c>
    </row>
    <row r="22" spans="1:2" x14ac:dyDescent="0.35">
      <c r="A22" s="2">
        <v>121198</v>
      </c>
      <c r="B22" s="6">
        <f t="shared" si="2"/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2025-07-01T15:07:14Z</dcterms:created>
  <dcterms:modified xsi:type="dcterms:W3CDTF">2025-07-01T16:06:15Z</dcterms:modified>
</cp:coreProperties>
</file>