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13_ncr:1_{8ABB10BD-8EBE-45EE-8AEF-EB88FCA72AE0}" xr6:coauthVersionLast="47" xr6:coauthVersionMax="47" xr10:uidLastSave="{00000000-0000-0000-0000-000000000000}"/>
  <bookViews>
    <workbookView xWindow="-110" yWindow="-110" windowWidth="19420" windowHeight="10420" xr2:uid="{0E3D12F4-3C6E-4BBB-9FEF-66E89FD868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3" i="1"/>
  <c r="I4" i="1"/>
  <c r="I5" i="1"/>
  <c r="I6" i="1"/>
  <c r="I7" i="1"/>
  <c r="I3" i="1"/>
  <c r="H3" i="1"/>
  <c r="H4" i="1"/>
  <c r="H5" i="1"/>
  <c r="H6" i="1"/>
  <c r="H7" i="1"/>
  <c r="G4" i="1"/>
  <c r="G5" i="1"/>
  <c r="G6" i="1"/>
  <c r="G7" i="1"/>
  <c r="G3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<sst xmlns="http://schemas.openxmlformats.org/spreadsheetml/2006/main" count="16" uniqueCount="16">
  <si>
    <t>Result Sheet</t>
  </si>
  <si>
    <t>SL</t>
  </si>
  <si>
    <t>Name</t>
  </si>
  <si>
    <t>BNG</t>
  </si>
  <si>
    <t>ENG</t>
  </si>
  <si>
    <t>MATH</t>
  </si>
  <si>
    <t>TOTAL</t>
  </si>
  <si>
    <t>AVG</t>
  </si>
  <si>
    <t>GRADE</t>
  </si>
  <si>
    <t>POINT</t>
  </si>
  <si>
    <t>Faiza</t>
  </si>
  <si>
    <t>Mira</t>
  </si>
  <si>
    <t>Niloy</t>
  </si>
  <si>
    <t>Rumi</t>
  </si>
  <si>
    <t>Zoey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</si>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</sst>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1BE3-108E-4A73-8B87-03143394CE76}">
  <dimension ref="A1:K7"/>
  <sheetViews>
    <sheetView tabSelected="1" workbookViewId="0">
      <selection activeCell="E14" sqref="E14"/>
    </sheetView>
  </sheetViews>
  <sheetFormatPr defaultRowHeight="14.5" x14ac:dyDescent="0.35"/>
  <cols>
    <col min="1" max="10" width="12.81640625" customWidth="1"/>
  </cols>
  <sheetData>
    <row r="1" spans="1:11" ht="34.5" x14ac:dyDescent="0.8">
      <c r="A1" s="1"/>
      <c r="B1" s="1"/>
      <c r="C1" s="1"/>
      <c r="D1" s="1"/>
      <c r="E1" s="1"/>
      <c r="F1" s="1" t="s">
        <v>0</v>
      </c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4</v>
      </c>
      <c r="D2" s="2" t="s">
        <v>3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15</v>
      </c>
    </row>
    <row r="3" spans="1:11" x14ac:dyDescent="0.35">
      <c r="A3" s="3">
        <v>1</v>
      </c>
      <c r="B3" t="s">
        <v>10</v>
      </c>
      <c r="C3" s="3">
        <v>74</v>
      </c>
      <c r="D3" s="3">
        <v>21</v>
      </c>
      <c r="E3" s="3">
        <v>52</v>
      </c>
      <c r="F3" s="3">
        <f>SUM(C3:E3)</f>
        <v>147</v>
      </c>
      <c r="G3" s="4">
        <f>F3/300*100</f>
        <v>49</v>
      </c>
      <c r="H3" s="3" t="str">
        <f>IF(G3&gt;=80,"A+",IF(G3&gt;=70,"A",IF(G3&gt;=60,"A-",IF(G3&gt;=50,"B",IF(G3&gt;=40,"C",IF(G3&gt;=33,"D","F"))))))</f>
        <v>C</v>
      </c>
      <c r="I3" s="3" t="str">
        <f>IF(G3&gt;=80,"5.00",IF(G3&gt;=70,"4.50",IF(G3&gt;=60,"4.00",IF(G3&gt;=50,"3.50",IF(G3&gt;=40,"3.00",IF(G3&gt;=33,"2.50","F"))))))</f>
        <v>3.00</v>
      </c>
      <c r="J3" s="3">
        <f>RANK(G3,$G$3:$G$7,0)</f>
        <v>4</v>
      </c>
    </row>
    <row r="4" spans="1:11" x14ac:dyDescent="0.35">
      <c r="A4" s="3">
        <v>2</v>
      </c>
      <c r="B4" t="s">
        <v>12</v>
      </c>
      <c r="C4" s="3">
        <v>66</v>
      </c>
      <c r="D4" s="3">
        <v>35</v>
      </c>
      <c r="E4" s="3">
        <v>17</v>
      </c>
      <c r="F4" s="3">
        <f>SUM(C4:E4)</f>
        <v>118</v>
      </c>
      <c r="G4" s="4">
        <f t="shared" ref="G4:G7" si="0">F4/300*100</f>
        <v>39.333333333333329</v>
      </c>
      <c r="H4" s="3" t="str">
        <f t="shared" ref="H4:H7" si="1">IF(G4&gt;=80,"A+",IF(G4&gt;=70,"A",IF(G4&gt;=60,"A-",IF(G4&gt;=50,"B",IF(G4&gt;=40,"C",IF(G4&gt;=33,"D","F"))))))</f>
        <v>D</v>
      </c>
      <c r="I4" s="3" t="str">
        <f t="shared" ref="I4:I7" si="2">IF(G4&gt;=80,"5.00",IF(G4&gt;=70,"4.50",IF(G4&gt;=60,"4.00",IF(G4&gt;=50,"3.50",IF(G4&gt;=40,"3.00",IF(G4&gt;=33,"2.50","F"))))))</f>
        <v>2.50</v>
      </c>
      <c r="J4" s="3">
        <f t="shared" ref="J4:J7" si="3">RANK(G4,$G$3:$G$7,0)</f>
        <v>5</v>
      </c>
    </row>
    <row r="5" spans="1:11" x14ac:dyDescent="0.35">
      <c r="A5" s="3">
        <v>3</v>
      </c>
      <c r="B5" t="s">
        <v>13</v>
      </c>
      <c r="C5" s="3">
        <v>64</v>
      </c>
      <c r="D5" s="3">
        <v>97</v>
      </c>
      <c r="E5" s="3">
        <v>57</v>
      </c>
      <c r="F5" s="3">
        <f>SUM(C5:E5)</f>
        <v>218</v>
      </c>
      <c r="G5" s="4">
        <f t="shared" si="0"/>
        <v>72.666666666666671</v>
      </c>
      <c r="H5" s="3" t="str">
        <f t="shared" si="1"/>
        <v>A</v>
      </c>
      <c r="I5" s="3" t="str">
        <f t="shared" si="2"/>
        <v>4.50</v>
      </c>
      <c r="J5" s="3">
        <f t="shared" si="3"/>
        <v>1</v>
      </c>
    </row>
    <row r="6" spans="1:11" x14ac:dyDescent="0.35">
      <c r="A6" s="3">
        <v>4</v>
      </c>
      <c r="B6" t="s">
        <v>11</v>
      </c>
      <c r="C6" s="3">
        <v>45</v>
      </c>
      <c r="D6" s="3">
        <v>74</v>
      </c>
      <c r="E6" s="3">
        <v>84</v>
      </c>
      <c r="F6" s="3">
        <f>SUM(C6:E6)</f>
        <v>203</v>
      </c>
      <c r="G6" s="4">
        <f t="shared" si="0"/>
        <v>67.666666666666657</v>
      </c>
      <c r="H6" s="3" t="str">
        <f t="shared" si="1"/>
        <v>A-</v>
      </c>
      <c r="I6" s="3" t="str">
        <f t="shared" si="2"/>
        <v>4.00</v>
      </c>
      <c r="J6" s="3">
        <f t="shared" si="3"/>
        <v>2</v>
      </c>
    </row>
    <row r="7" spans="1:11" x14ac:dyDescent="0.35">
      <c r="A7" s="3">
        <v>5</v>
      </c>
      <c r="B7" t="s">
        <v>14</v>
      </c>
      <c r="C7" s="3">
        <v>56</v>
      </c>
      <c r="D7" s="3">
        <v>89</v>
      </c>
      <c r="E7" s="3">
        <v>45</v>
      </c>
      <c r="F7" s="3">
        <f>SUM(C7:E7)</f>
        <v>190</v>
      </c>
      <c r="G7" s="4">
        <f t="shared" si="0"/>
        <v>63.333333333333329</v>
      </c>
      <c r="H7" s="3" t="str">
        <f t="shared" si="1"/>
        <v>A-</v>
      </c>
      <c r="I7" s="3" t="str">
        <f t="shared" si="2"/>
        <v>4.00</v>
      </c>
      <c r="J7" s="3">
        <f t="shared" si="3"/>
        <v>3</v>
      </c>
    </row>
  </sheetData>
  <conditionalFormatting sqref="J3:J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2025-07-07T13:14:42Z</dcterms:created>
  <dcterms:modified xsi:type="dcterms:W3CDTF">2025-07-08T13:29:28Z</dcterms:modified>
</cp:coreProperties>
</file>